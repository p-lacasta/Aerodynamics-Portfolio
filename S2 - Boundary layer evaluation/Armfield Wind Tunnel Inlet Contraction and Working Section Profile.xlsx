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rookesacuk-my.sharepoint.com/personal/p0015122_brookes_ac_uk/Documents/"/>
    </mc:Choice>
  </mc:AlternateContent>
  <xr:revisionPtr revIDLastSave="210" documentId="8_{6BF10AE8-57D0-47DE-B6F3-2C2E600D6B83}" xr6:coauthVersionLast="47" xr6:coauthVersionMax="47" xr10:uidLastSave="{488D5628-E81A-48F4-BF2D-21D024307E9B}"/>
  <bookViews>
    <workbookView xWindow="-120" yWindow="-120" windowWidth="51840" windowHeight="21120" xr2:uid="{B3750897-BC2A-48F0-BF5B-CB3F5D6AEE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" l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3" i="1"/>
</calcChain>
</file>

<file path=xl/sharedStrings.xml><?xml version="1.0" encoding="utf-8"?>
<sst xmlns="http://schemas.openxmlformats.org/spreadsheetml/2006/main" count="17" uniqueCount="15">
  <si>
    <t>x</t>
  </si>
  <si>
    <t>y</t>
  </si>
  <si>
    <t>Vertical Ordinate</t>
  </si>
  <si>
    <t>Lateral Ordinate</t>
  </si>
  <si>
    <t>Start of the inlet contraction</t>
  </si>
  <si>
    <t>x (mm)</t>
  </si>
  <si>
    <t>y (mm)</t>
  </si>
  <si>
    <t>z (mm)</t>
  </si>
  <si>
    <t>End of the inlet contraction and start of the working section</t>
  </si>
  <si>
    <t>End of wind tunnel working section.</t>
  </si>
  <si>
    <t>Distance through inlet contraction - x direction</t>
  </si>
  <si>
    <t>Start of Working Section</t>
  </si>
  <si>
    <t>End of Working Section</t>
  </si>
  <si>
    <t>This data only used for marking start and end of working section for wind tunnel in the profile plot - DO NOT USE</t>
  </si>
  <si>
    <t>Data Point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</si>
</sst>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wrapText="1"/>
    </xf>
    <xf numFmtId="2" fontId="0" fillId="0" borderId="0" xfId="0" applyNumberFormat="1"/>
    <xf numFmtId="0" fontId="0" fillId="0" borderId="1" xfId="0" applyBorder="1"/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1" fillId="0" borderId="0" xfId="0" applyFont="1" applyAlignment="1">
      <alignment wrapText="1"/>
    </xf>
    <xf numFmtId="0" fontId="1" fillId="2" borderId="0" xfId="0" applyFont="1" applyFill="1" applyAlignment="1">
      <alignment wrapText="1"/>
    </xf>
    <xf numFmtId="0" fontId="1" fillId="2" borderId="0" xfId="0" applyFont="1" applyFill="1"/>
    <xf numFmtId="2" fontId="1" fillId="2" borderId="0" xfId="0" applyNumberFormat="1" applyFont="1" applyFill="1"/>
    <xf numFmtId="0" fontId="1" fillId="3" borderId="0" xfId="0" applyFont="1" applyFill="1" applyAlignment="1">
      <alignment wrapText="1"/>
    </xf>
    <xf numFmtId="0" fontId="1" fillId="3" borderId="0" xfId="0" applyFont="1" applyFill="1"/>
    <xf numFmtId="2" fontId="1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Wind Tunnel Inlet Contraction Profile for the upper surface (y ordinate)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Wind Tunnel Contraction Profile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Sheet1!$D$3:$D$78</c:f>
              <c:numCache>
                <c:formatCode>0.00</c:formatCode>
                <c:ptCount val="76"/>
                <c:pt idx="0">
                  <c:v>0</c:v>
                </c:pt>
                <c:pt idx="1">
                  <c:v>6.0155480633899998</c:v>
                </c:pt>
                <c:pt idx="2">
                  <c:v>22.614704446680001</c:v>
                </c:pt>
                <c:pt idx="3">
                  <c:v>45.803353914440002</c:v>
                </c:pt>
                <c:pt idx="4">
                  <c:v>95.357208196360006</c:v>
                </c:pt>
                <c:pt idx="5">
                  <c:v>120.13661125739</c:v>
                </c:pt>
                <c:pt idx="6">
                  <c:v>144.91601431831998</c:v>
                </c:pt>
                <c:pt idx="7">
                  <c:v>169.69541737935</c:v>
                </c:pt>
                <c:pt idx="8">
                  <c:v>194.47482044038</c:v>
                </c:pt>
                <c:pt idx="9">
                  <c:v>219.25422350141</c:v>
                </c:pt>
                <c:pt idx="10">
                  <c:v>244.03362656243999</c:v>
                </c:pt>
                <c:pt idx="11">
                  <c:v>268.80389817999003</c:v>
                </c:pt>
                <c:pt idx="12">
                  <c:v>293.48488980947002</c:v>
                </c:pt>
                <c:pt idx="13">
                  <c:v>317.98283432178999</c:v>
                </c:pt>
                <c:pt idx="14">
                  <c:v>342.23754485856</c:v>
                </c:pt>
                <c:pt idx="15">
                  <c:v>366.22288953240002</c:v>
                </c:pt>
                <c:pt idx="16">
                  <c:v>389.94305097240999</c:v>
                </c:pt>
                <c:pt idx="17">
                  <c:v>413.42655552885998</c:v>
                </c:pt>
                <c:pt idx="18">
                  <c:v>436.69952649313001</c:v>
                </c:pt>
                <c:pt idx="19">
                  <c:v>459.76699688970001</c:v>
                </c:pt>
                <c:pt idx="20">
                  <c:v>482.63579788961999</c:v>
                </c:pt>
                <c:pt idx="21">
                  <c:v>505.31630387562001</c:v>
                </c:pt>
                <c:pt idx="22">
                  <c:v>527.82197000149995</c:v>
                </c:pt>
                <c:pt idx="23">
                  <c:v>550.16886332105992</c:v>
                </c:pt>
                <c:pt idx="24">
                  <c:v>572.37520764925</c:v>
                </c:pt>
                <c:pt idx="25">
                  <c:v>594.46095524291002</c:v>
                </c:pt>
                <c:pt idx="26">
                  <c:v>616.44739223826002</c:v>
                </c:pt>
                <c:pt idx="27">
                  <c:v>638.35677985207997</c:v>
                </c:pt>
                <c:pt idx="28">
                  <c:v>660.21202968052</c:v>
                </c:pt>
                <c:pt idx="29">
                  <c:v>682.03640890229997</c:v>
                </c:pt>
                <c:pt idx="30">
                  <c:v>703.85326963035004</c:v>
                </c:pt>
                <c:pt idx="31">
                  <c:v>725.68579587188003</c:v>
                </c:pt>
                <c:pt idx="32">
                  <c:v>747.55676138803005</c:v>
                </c:pt>
                <c:pt idx="33">
                  <c:v>769.48829207273002</c:v>
                </c:pt>
                <c:pt idx="34">
                  <c:v>791.50162722183995</c:v>
                </c:pt>
                <c:pt idx="35">
                  <c:v>813.62575261491997</c:v>
                </c:pt>
                <c:pt idx="36">
                  <c:v>835.92768760962997</c:v>
                </c:pt>
                <c:pt idx="37">
                  <c:v>858.47970130232</c:v>
                </c:pt>
                <c:pt idx="38">
                  <c:v>881.34410259219999</c:v>
                </c:pt>
                <c:pt idx="39">
                  <c:v>904.56852534733002</c:v>
                </c:pt>
                <c:pt idx="40">
                  <c:v>928.17960921234999</c:v>
                </c:pt>
                <c:pt idx="41">
                  <c:v>952.17540633867998</c:v>
                </c:pt>
                <c:pt idx="42">
                  <c:v>976.51775224514995</c:v>
                </c:pt>
                <c:pt idx="43">
                  <c:v>1001.12700766613</c:v>
                </c:pt>
                <c:pt idx="44">
                  <c:v>1025.88238775588</c:v>
                </c:pt>
                <c:pt idx="45">
                  <c:v>1050.6617908169101</c:v>
                </c:pt>
                <c:pt idx="46">
                  <c:v>1075</c:v>
                </c:pt>
                <c:pt idx="47">
                  <c:v>1100.2205969389699</c:v>
                </c:pt>
                <c:pt idx="48">
                  <c:v>1125</c:v>
                </c:pt>
                <c:pt idx="49">
                  <c:v>1150</c:v>
                </c:pt>
                <c:pt idx="50">
                  <c:v>1175</c:v>
                </c:pt>
                <c:pt idx="51">
                  <c:v>1200</c:v>
                </c:pt>
                <c:pt idx="52">
                  <c:v>1225</c:v>
                </c:pt>
                <c:pt idx="53">
                  <c:v>1250</c:v>
                </c:pt>
                <c:pt idx="54">
                  <c:v>1275</c:v>
                </c:pt>
                <c:pt idx="55">
                  <c:v>1300</c:v>
                </c:pt>
                <c:pt idx="56">
                  <c:v>1325</c:v>
                </c:pt>
                <c:pt idx="57">
                  <c:v>1350</c:v>
                </c:pt>
                <c:pt idx="58">
                  <c:v>1375</c:v>
                </c:pt>
                <c:pt idx="59">
                  <c:v>1400</c:v>
                </c:pt>
                <c:pt idx="60">
                  <c:v>1425</c:v>
                </c:pt>
                <c:pt idx="61">
                  <c:v>1450</c:v>
                </c:pt>
                <c:pt idx="62">
                  <c:v>1475</c:v>
                </c:pt>
                <c:pt idx="63">
                  <c:v>1500</c:v>
                </c:pt>
                <c:pt idx="64">
                  <c:v>1525</c:v>
                </c:pt>
                <c:pt idx="65">
                  <c:v>1550</c:v>
                </c:pt>
                <c:pt idx="66">
                  <c:v>1575</c:v>
                </c:pt>
                <c:pt idx="67">
                  <c:v>1600</c:v>
                </c:pt>
                <c:pt idx="68">
                  <c:v>1625</c:v>
                </c:pt>
                <c:pt idx="69">
                  <c:v>1650</c:v>
                </c:pt>
                <c:pt idx="70">
                  <c:v>1675</c:v>
                </c:pt>
                <c:pt idx="71">
                  <c:v>1700</c:v>
                </c:pt>
                <c:pt idx="72">
                  <c:v>1725</c:v>
                </c:pt>
                <c:pt idx="73">
                  <c:v>1750</c:v>
                </c:pt>
                <c:pt idx="74">
                  <c:v>1775</c:v>
                </c:pt>
                <c:pt idx="75">
                  <c:v>1785</c:v>
                </c:pt>
              </c:numCache>
            </c:numRef>
          </c:xVal>
          <c:yVal>
            <c:numRef>
              <c:f>Sheet1!$E$3:$E$78</c:f>
              <c:numCache>
                <c:formatCode>0.00</c:formatCode>
                <c:ptCount val="76"/>
                <c:pt idx="0">
                  <c:v>495</c:v>
                </c:pt>
                <c:pt idx="1">
                  <c:v>471.22253192965002</c:v>
                </c:pt>
                <c:pt idx="2">
                  <c:v>453.16645380250998</c:v>
                </c:pt>
                <c:pt idx="3">
                  <c:v>445.17642965791998</c:v>
                </c:pt>
                <c:pt idx="4">
                  <c:v>445</c:v>
                </c:pt>
                <c:pt idx="5">
                  <c:v>445</c:v>
                </c:pt>
                <c:pt idx="6">
                  <c:v>445</c:v>
                </c:pt>
                <c:pt idx="7">
                  <c:v>445</c:v>
                </c:pt>
                <c:pt idx="8">
                  <c:v>445</c:v>
                </c:pt>
                <c:pt idx="9">
                  <c:v>445</c:v>
                </c:pt>
                <c:pt idx="10">
                  <c:v>445</c:v>
                </c:pt>
                <c:pt idx="11">
                  <c:v>444.49171078415998</c:v>
                </c:pt>
                <c:pt idx="12">
                  <c:v>442.33658172216002</c:v>
                </c:pt>
                <c:pt idx="13">
                  <c:v>438.63674762924001</c:v>
                </c:pt>
                <c:pt idx="14">
                  <c:v>433.57810353631999</c:v>
                </c:pt>
                <c:pt idx="15">
                  <c:v>427.36331995668002</c:v>
                </c:pt>
                <c:pt idx="16">
                  <c:v>420.20036776540002</c:v>
                </c:pt>
                <c:pt idx="17">
                  <c:v>412.294350882</c:v>
                </c:pt>
                <c:pt idx="18">
                  <c:v>403.78805200839997</c:v>
                </c:pt>
                <c:pt idx="19">
                  <c:v>394.73902332272002</c:v>
                </c:pt>
                <c:pt idx="20">
                  <c:v>385.19881533850997</c:v>
                </c:pt>
                <c:pt idx="21">
                  <c:v>375.21901468380003</c:v>
                </c:pt>
                <c:pt idx="22">
                  <c:v>364.85077050458</c:v>
                </c:pt>
                <c:pt idx="23">
                  <c:v>354.14445823858</c:v>
                </c:pt>
                <c:pt idx="24">
                  <c:v>343.14946689562998</c:v>
                </c:pt>
                <c:pt idx="25">
                  <c:v>331.91409218234998</c:v>
                </c:pt>
                <c:pt idx="26">
                  <c:v>320.48551644128003</c:v>
                </c:pt>
                <c:pt idx="27">
                  <c:v>308.90985667955999</c:v>
                </c:pt>
                <c:pt idx="28">
                  <c:v>297.23226325465998</c:v>
                </c:pt>
                <c:pt idx="29">
                  <c:v>285.49705352348002</c:v>
                </c:pt>
                <c:pt idx="30">
                  <c:v>273.74786655627003</c:v>
                </c:pt>
                <c:pt idx="31">
                  <c:v>262.02782662163003</c:v>
                </c:pt>
                <c:pt idx="32">
                  <c:v>250.379704428</c:v>
                </c:pt>
                <c:pt idx="33">
                  <c:v>238.84606601594001</c:v>
                </c:pt>
                <c:pt idx="34">
                  <c:v>227.46939975635999</c:v>
                </c:pt>
                <c:pt idx="35">
                  <c:v>216.30992997387</c:v>
                </c:pt>
                <c:pt idx="36">
                  <c:v>205.51075956502001</c:v>
                </c:pt>
                <c:pt idx="37">
                  <c:v>195.24497192837001</c:v>
                </c:pt>
                <c:pt idx="38">
                  <c:v>185.69650701712999</c:v>
                </c:pt>
                <c:pt idx="39">
                  <c:v>177.06245741654001</c:v>
                </c:pt>
                <c:pt idx="40">
                  <c:v>169.55272544402999</c:v>
                </c:pt>
                <c:pt idx="41">
                  <c:v>163.38563139271</c:v>
                </c:pt>
                <c:pt idx="42">
                  <c:v>158.77803916038999</c:v>
                </c:pt>
                <c:pt idx="43">
                  <c:v>155.92940795929999</c:v>
                </c:pt>
                <c:pt idx="44">
                  <c:v>155</c:v>
                </c:pt>
                <c:pt idx="45">
                  <c:v>155</c:v>
                </c:pt>
                <c:pt idx="46">
                  <c:v>155</c:v>
                </c:pt>
                <c:pt idx="47">
                  <c:v>155</c:v>
                </c:pt>
                <c:pt idx="48">
                  <c:v>155</c:v>
                </c:pt>
                <c:pt idx="49">
                  <c:v>155</c:v>
                </c:pt>
                <c:pt idx="50">
                  <c:v>155</c:v>
                </c:pt>
                <c:pt idx="51">
                  <c:v>155</c:v>
                </c:pt>
                <c:pt idx="52">
                  <c:v>155</c:v>
                </c:pt>
                <c:pt idx="53">
                  <c:v>155</c:v>
                </c:pt>
                <c:pt idx="54">
                  <c:v>155</c:v>
                </c:pt>
                <c:pt idx="55">
                  <c:v>155</c:v>
                </c:pt>
                <c:pt idx="56">
                  <c:v>155</c:v>
                </c:pt>
                <c:pt idx="57">
                  <c:v>155</c:v>
                </c:pt>
                <c:pt idx="58">
                  <c:v>155</c:v>
                </c:pt>
                <c:pt idx="59">
                  <c:v>155</c:v>
                </c:pt>
                <c:pt idx="60">
                  <c:v>155</c:v>
                </c:pt>
                <c:pt idx="61">
                  <c:v>155</c:v>
                </c:pt>
                <c:pt idx="62">
                  <c:v>155</c:v>
                </c:pt>
                <c:pt idx="63">
                  <c:v>155</c:v>
                </c:pt>
                <c:pt idx="64">
                  <c:v>155</c:v>
                </c:pt>
                <c:pt idx="65">
                  <c:v>155</c:v>
                </c:pt>
                <c:pt idx="66">
                  <c:v>155</c:v>
                </c:pt>
                <c:pt idx="67">
                  <c:v>155</c:v>
                </c:pt>
                <c:pt idx="68">
                  <c:v>155</c:v>
                </c:pt>
                <c:pt idx="69">
                  <c:v>155</c:v>
                </c:pt>
                <c:pt idx="70">
                  <c:v>155</c:v>
                </c:pt>
                <c:pt idx="71">
                  <c:v>155</c:v>
                </c:pt>
                <c:pt idx="72">
                  <c:v>155</c:v>
                </c:pt>
                <c:pt idx="73">
                  <c:v>155</c:v>
                </c:pt>
                <c:pt idx="74">
                  <c:v>155</c:v>
                </c:pt>
                <c:pt idx="75">
                  <c:v>155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DD9-4D46-AFDD-CBD41BD1FEA1}"/>
            </c:ext>
          </c:extLst>
        </c:ser>
        <c:ser>
          <c:idx val="1"/>
          <c:order val="1"/>
          <c:tx>
            <c:v>Start of Working Section</c:v>
          </c:tx>
          <c:spPr>
            <a:ln w="19050" cap="rnd">
              <a:solidFill>
                <a:schemeClr val="accent2"/>
              </a:solidFill>
              <a:prstDash val="dashDot"/>
              <a:round/>
            </a:ln>
            <a:effectLst/>
          </c:spPr>
          <c:marker>
            <c:symbol val="none"/>
          </c:marker>
          <c:xVal>
            <c:numRef>
              <c:f>Sheet1!$Y$5:$Y$6</c:f>
              <c:numCache>
                <c:formatCode>General</c:formatCode>
                <c:ptCount val="2"/>
                <c:pt idx="0">
                  <c:v>1125</c:v>
                </c:pt>
                <c:pt idx="1">
                  <c:v>1125</c:v>
                </c:pt>
              </c:numCache>
            </c:numRef>
          </c:xVal>
          <c:yVal>
            <c:numRef>
              <c:f>Sheet1!$Z$5:$Z$6</c:f>
              <c:numCache>
                <c:formatCode>General</c:formatCode>
                <c:ptCount val="2"/>
                <c:pt idx="0">
                  <c:v>0</c:v>
                </c:pt>
                <c:pt idx="1">
                  <c:v>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DD9-4D46-AFDD-CBD41BD1FEA1}"/>
            </c:ext>
          </c:extLst>
        </c:ser>
        <c:ser>
          <c:idx val="2"/>
          <c:order val="2"/>
          <c:tx>
            <c:v>End of Working Section</c:v>
          </c:tx>
          <c:spPr>
            <a:ln w="19050" cap="rnd">
              <a:solidFill>
                <a:schemeClr val="accent3"/>
              </a:solidFill>
              <a:prstDash val="dashDot"/>
              <a:round/>
            </a:ln>
            <a:effectLst/>
          </c:spPr>
          <c:marker>
            <c:symbol val="none"/>
          </c:marker>
          <c:xVal>
            <c:numRef>
              <c:f>Sheet1!$AB$5:$AB$6</c:f>
              <c:numCache>
                <c:formatCode>General</c:formatCode>
                <c:ptCount val="2"/>
                <c:pt idx="0">
                  <c:v>1785</c:v>
                </c:pt>
                <c:pt idx="1">
                  <c:v>1785</c:v>
                </c:pt>
              </c:numCache>
            </c:numRef>
          </c:xVal>
          <c:yVal>
            <c:numRef>
              <c:f>Sheet1!$AC$5:$AC$6</c:f>
              <c:numCache>
                <c:formatCode>General</c:formatCode>
                <c:ptCount val="2"/>
                <c:pt idx="0">
                  <c:v>0</c:v>
                </c:pt>
                <c:pt idx="1">
                  <c:v>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DD9-4D46-AFDD-CBD41BD1FE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6592368"/>
        <c:axId val="1656592848"/>
      </c:scatterChart>
      <c:valAx>
        <c:axId val="16565923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/>
                  <a:t>x-ordinate</a:t>
                </a:r>
                <a:r>
                  <a:rPr lang="en-GB" sz="1400" baseline="0"/>
                  <a:t> through the inlet contraction and working section (mm)</a:t>
                </a:r>
                <a:endParaRPr lang="en-GB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6592848"/>
        <c:crosses val="autoZero"/>
        <c:crossBetween val="midCat"/>
      </c:valAx>
      <c:valAx>
        <c:axId val="1656592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 baseline="0"/>
                  <a:t>y ordinate of inlet contration and working sectionprofile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65923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21</xdr:col>
      <xdr:colOff>161925</xdr:colOff>
      <xdr:row>23</xdr:row>
      <xdr:rowOff>61913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49E5DE2-B5B4-4BD6-A4DD-10472ECDE0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57150</xdr:colOff>
      <xdr:row>24</xdr:row>
      <xdr:rowOff>76200</xdr:rowOff>
    </xdr:from>
    <xdr:to>
      <xdr:col>20</xdr:col>
      <xdr:colOff>612912</xdr:colOff>
      <xdr:row>50</xdr:row>
      <xdr:rowOff>548005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6B2D2DF-0C4D-48E2-BA4E-3CD2184713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10275" y="4838700"/>
          <a:ext cx="7258050" cy="542480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54</xdr:row>
      <xdr:rowOff>0</xdr:rowOff>
    </xdr:from>
    <xdr:to>
      <xdr:col>21</xdr:col>
      <xdr:colOff>19049</xdr:colOff>
      <xdr:row>88</xdr:row>
      <xdr:rowOff>144223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29DF038-87A3-8318-9794-7CCA29D07A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953125" y="10477500"/>
          <a:ext cx="7334250" cy="6811723"/>
        </a:xfrm>
        <a:prstGeom prst="rect">
          <a:avLst/>
        </a:prstGeom>
      </xdr:spPr>
    </xdr:pic>
    <xdr:clientData/>
  </xdr:twoCellAnchor>
  <xdr:twoCellAnchor>
    <xdr:from>
      <xdr:col>9</xdr:col>
      <xdr:colOff>157369</xdr:colOff>
      <xdr:row>41</xdr:row>
      <xdr:rowOff>41413</xdr:rowOff>
    </xdr:from>
    <xdr:to>
      <xdr:col>11</xdr:col>
      <xdr:colOff>207065</xdr:colOff>
      <xdr:row>45</xdr:row>
      <xdr:rowOff>115956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371711D9-980A-2DAB-2B17-985B2E06D7E4}"/>
            </a:ext>
          </a:extLst>
        </xdr:cNvPr>
        <xdr:cNvSpPr txBox="1"/>
      </xdr:nvSpPr>
      <xdr:spPr>
        <a:xfrm>
          <a:off x="8514521" y="8232913"/>
          <a:ext cx="1275522" cy="83654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Origin (0,0,0) - Centre of Inlet area</a:t>
          </a:r>
          <a:r>
            <a:rPr lang="en-GB" sz="1100" baseline="0"/>
            <a:t> to wind tunnel contraction.</a:t>
          </a:r>
          <a:endParaRPr lang="en-GB" sz="1100"/>
        </a:p>
      </xdr:txBody>
    </xdr:sp>
    <xdr:clientData/>
  </xdr:twoCellAnchor>
  <xdr:twoCellAnchor>
    <xdr:from>
      <xdr:col>10</xdr:col>
      <xdr:colOff>182217</xdr:colOff>
      <xdr:row>38</xdr:row>
      <xdr:rowOff>165652</xdr:rowOff>
    </xdr:from>
    <xdr:to>
      <xdr:col>11</xdr:col>
      <xdr:colOff>240196</xdr:colOff>
      <xdr:row>41</xdr:row>
      <xdr:rowOff>41413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9DA6A3C9-8F32-52AF-7651-ECD6C527B708}"/>
            </a:ext>
          </a:extLst>
        </xdr:cNvPr>
        <xdr:cNvCxnSpPr>
          <a:stCxn id="8" idx="0"/>
        </xdr:cNvCxnSpPr>
      </xdr:nvCxnSpPr>
      <xdr:spPr>
        <a:xfrm flipV="1">
          <a:off x="9152282" y="7785652"/>
          <a:ext cx="670892" cy="447261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306457</xdr:colOff>
      <xdr:row>38</xdr:row>
      <xdr:rowOff>107674</xdr:rowOff>
    </xdr:from>
    <xdr:to>
      <xdr:col>12</xdr:col>
      <xdr:colOff>339587</xdr:colOff>
      <xdr:row>38</xdr:row>
      <xdr:rowOff>115957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EB49200B-1F6D-79C4-6832-7808BB8BF467}"/>
            </a:ext>
          </a:extLst>
        </xdr:cNvPr>
        <xdr:cNvCxnSpPr/>
      </xdr:nvCxnSpPr>
      <xdr:spPr>
        <a:xfrm flipV="1">
          <a:off x="9889435" y="7727674"/>
          <a:ext cx="646043" cy="8283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306457</xdr:colOff>
      <xdr:row>35</xdr:row>
      <xdr:rowOff>0</xdr:rowOff>
    </xdr:from>
    <xdr:to>
      <xdr:col>11</xdr:col>
      <xdr:colOff>306457</xdr:colOff>
      <xdr:row>38</xdr:row>
      <xdr:rowOff>124239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E86156C8-122E-7D0F-826D-DA2E333940D6}"/>
            </a:ext>
          </a:extLst>
        </xdr:cNvPr>
        <xdr:cNvCxnSpPr/>
      </xdr:nvCxnSpPr>
      <xdr:spPr>
        <a:xfrm flipV="1">
          <a:off x="9889435" y="7048500"/>
          <a:ext cx="0" cy="695739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372718</xdr:colOff>
      <xdr:row>37</xdr:row>
      <xdr:rowOff>165652</xdr:rowOff>
    </xdr:from>
    <xdr:to>
      <xdr:col>13</xdr:col>
      <xdr:colOff>165652</xdr:colOff>
      <xdr:row>39</xdr:row>
      <xdr:rowOff>91109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CF4DE0D8-D106-C3F5-B9C3-13086846C19F}"/>
            </a:ext>
          </a:extLst>
        </xdr:cNvPr>
        <xdr:cNvSpPr txBox="1"/>
      </xdr:nvSpPr>
      <xdr:spPr>
        <a:xfrm>
          <a:off x="10568609" y="7595152"/>
          <a:ext cx="405847" cy="30645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x</a:t>
          </a:r>
        </a:p>
      </xdr:txBody>
    </xdr:sp>
    <xdr:clientData/>
  </xdr:twoCellAnchor>
  <xdr:twoCellAnchor>
    <xdr:from>
      <xdr:col>11</xdr:col>
      <xdr:colOff>185531</xdr:colOff>
      <xdr:row>33</xdr:row>
      <xdr:rowOff>28160</xdr:rowOff>
    </xdr:from>
    <xdr:to>
      <xdr:col>11</xdr:col>
      <xdr:colOff>591378</xdr:colOff>
      <xdr:row>34</xdr:row>
      <xdr:rowOff>144117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6E1CB23C-65E7-4045-B508-4ED242F3E32C}"/>
            </a:ext>
          </a:extLst>
        </xdr:cNvPr>
        <xdr:cNvSpPr txBox="1"/>
      </xdr:nvSpPr>
      <xdr:spPr>
        <a:xfrm>
          <a:off x="9768509" y="6695660"/>
          <a:ext cx="405847" cy="30645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y</a:t>
          </a:r>
        </a:p>
      </xdr:txBody>
    </xdr:sp>
    <xdr:clientData/>
  </xdr:twoCellAnchor>
  <xdr:twoCellAnchor>
    <xdr:from>
      <xdr:col>11</xdr:col>
      <xdr:colOff>262145</xdr:colOff>
      <xdr:row>38</xdr:row>
      <xdr:rowOff>175592</xdr:rowOff>
    </xdr:from>
    <xdr:to>
      <xdr:col>12</xdr:col>
      <xdr:colOff>339587</xdr:colOff>
      <xdr:row>40</xdr:row>
      <xdr:rowOff>173935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B5B0A694-1974-4475-BA20-2C5026051C6D}"/>
            </a:ext>
          </a:extLst>
        </xdr:cNvPr>
        <xdr:cNvSpPr txBox="1"/>
      </xdr:nvSpPr>
      <xdr:spPr>
        <a:xfrm>
          <a:off x="9845123" y="7795592"/>
          <a:ext cx="690355" cy="37934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z = out of page</a:t>
          </a:r>
        </a:p>
      </xdr:txBody>
    </xdr:sp>
    <xdr:clientData/>
  </xdr:twoCellAnchor>
  <xdr:twoCellAnchor>
    <xdr:from>
      <xdr:col>17</xdr:col>
      <xdr:colOff>571500</xdr:colOff>
      <xdr:row>47</xdr:row>
      <xdr:rowOff>16565</xdr:rowOff>
    </xdr:from>
    <xdr:to>
      <xdr:col>20</xdr:col>
      <xdr:colOff>505239</xdr:colOff>
      <xdr:row>50</xdr:row>
      <xdr:rowOff>0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46DF1E11-F9DC-2B11-42C9-6D021B9708C2}"/>
            </a:ext>
          </a:extLst>
        </xdr:cNvPr>
        <xdr:cNvSpPr txBox="1"/>
      </xdr:nvSpPr>
      <xdr:spPr>
        <a:xfrm>
          <a:off x="13831957" y="9351065"/>
          <a:ext cx="1772478" cy="55493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Start of working section - 660mm in length</a:t>
          </a:r>
        </a:p>
      </xdr:txBody>
    </xdr:sp>
    <xdr:clientData/>
  </xdr:twoCellAnchor>
  <xdr:twoCellAnchor>
    <xdr:from>
      <xdr:col>19</xdr:col>
      <xdr:colOff>231913</xdr:colOff>
      <xdr:row>42</xdr:row>
      <xdr:rowOff>107674</xdr:rowOff>
    </xdr:from>
    <xdr:to>
      <xdr:col>20</xdr:col>
      <xdr:colOff>82826</xdr:colOff>
      <xdr:row>46</xdr:row>
      <xdr:rowOff>173935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ACA51E96-160F-906D-37C0-9AABFD391F83}"/>
            </a:ext>
          </a:extLst>
        </xdr:cNvPr>
        <xdr:cNvCxnSpPr/>
      </xdr:nvCxnSpPr>
      <xdr:spPr>
        <a:xfrm flipV="1">
          <a:off x="14718196" y="8489674"/>
          <a:ext cx="463826" cy="828261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31060</xdr:colOff>
      <xdr:row>81</xdr:row>
      <xdr:rowOff>182218</xdr:rowOff>
    </xdr:from>
    <xdr:to>
      <xdr:col>18</xdr:col>
      <xdr:colOff>80755</xdr:colOff>
      <xdr:row>86</xdr:row>
      <xdr:rowOff>66261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AAE76631-F040-43D7-915F-64F346F3A163}"/>
            </a:ext>
          </a:extLst>
        </xdr:cNvPr>
        <xdr:cNvSpPr txBox="1"/>
      </xdr:nvSpPr>
      <xdr:spPr>
        <a:xfrm>
          <a:off x="12678603" y="16565218"/>
          <a:ext cx="1275522" cy="83654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Origin (0,0,0) - Centre of Inlet area</a:t>
          </a:r>
          <a:r>
            <a:rPr lang="en-GB" sz="1100" baseline="0"/>
            <a:t> to wind tunnel contraction.</a:t>
          </a:r>
          <a:endParaRPr lang="en-GB" sz="1100"/>
        </a:p>
      </xdr:txBody>
    </xdr:sp>
    <xdr:clientData/>
  </xdr:twoCellAnchor>
  <xdr:twoCellAnchor>
    <xdr:from>
      <xdr:col>13</xdr:col>
      <xdr:colOff>546653</xdr:colOff>
      <xdr:row>74</xdr:row>
      <xdr:rowOff>182217</xdr:rowOff>
    </xdr:from>
    <xdr:to>
      <xdr:col>16</xdr:col>
      <xdr:colOff>41414</xdr:colOff>
      <xdr:row>82</xdr:row>
      <xdr:rowOff>24848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363A9027-AA05-5AC6-3E46-F627E0599ED7}"/>
            </a:ext>
          </a:extLst>
        </xdr:cNvPr>
        <xdr:cNvCxnSpPr/>
      </xdr:nvCxnSpPr>
      <xdr:spPr>
        <a:xfrm flipH="1" flipV="1">
          <a:off x="11355457" y="15041217"/>
          <a:ext cx="1333500" cy="1557131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107674</xdr:colOff>
      <xdr:row>55</xdr:row>
      <xdr:rowOff>99391</xdr:rowOff>
    </xdr:from>
    <xdr:to>
      <xdr:col>16</xdr:col>
      <xdr:colOff>604631</xdr:colOff>
      <xdr:row>57</xdr:row>
      <xdr:rowOff>24848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492F9B1D-9931-0381-8D4F-5EFB6045CB97}"/>
            </a:ext>
          </a:extLst>
        </xdr:cNvPr>
        <xdr:cNvSpPr txBox="1"/>
      </xdr:nvSpPr>
      <xdr:spPr>
        <a:xfrm>
          <a:off x="8970065" y="12167152"/>
          <a:ext cx="2948609" cy="30645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Sectioned view of Wind Tunnel</a:t>
          </a:r>
          <a:r>
            <a:rPr lang="en-GB" sz="1100" baseline="0"/>
            <a:t> Inlet Contraction</a:t>
          </a:r>
          <a:endParaRPr lang="en-GB" sz="1100"/>
        </a:p>
      </xdr:txBody>
    </xdr:sp>
    <xdr:clientData/>
  </xdr:twoCellAnchor>
  <xdr:twoCellAnchor>
    <xdr:from>
      <xdr:col>13</xdr:col>
      <xdr:colOff>33131</xdr:colOff>
      <xdr:row>24</xdr:row>
      <xdr:rowOff>115956</xdr:rowOff>
    </xdr:from>
    <xdr:to>
      <xdr:col>18</xdr:col>
      <xdr:colOff>149087</xdr:colOff>
      <xdr:row>26</xdr:row>
      <xdr:rowOff>41413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0E32ADD7-D60C-44CF-B9FF-AABD47BC9169}"/>
            </a:ext>
          </a:extLst>
        </xdr:cNvPr>
        <xdr:cNvSpPr txBox="1"/>
      </xdr:nvSpPr>
      <xdr:spPr>
        <a:xfrm>
          <a:off x="9508435" y="5897217"/>
          <a:ext cx="3180522" cy="30645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Lateral view (+Z Axis)</a:t>
          </a:r>
          <a:r>
            <a:rPr lang="en-GB" sz="1100" baseline="0"/>
            <a:t> </a:t>
          </a:r>
          <a:r>
            <a:rPr lang="en-GB" sz="1100"/>
            <a:t>of Wind Tunnel</a:t>
          </a:r>
          <a:r>
            <a:rPr lang="en-GB" sz="1100" baseline="0"/>
            <a:t> Inlet Contraction</a:t>
          </a:r>
          <a:endParaRPr lang="en-GB" sz="1100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0.83411</cdr:x>
      <cdr:y>0.45668</cdr:y>
    </cdr:from>
    <cdr:to>
      <cdr:x>0.96634</cdr:x>
      <cdr:y>0.60208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8B77BEC5-CCC5-876D-B7AB-3555E94A641B}"/>
            </a:ext>
          </a:extLst>
        </cdr:cNvPr>
        <cdr:cNvSpPr txBox="1"/>
      </cdr:nvSpPr>
      <cdr:spPr>
        <a:xfrm xmlns:a="http://schemas.openxmlformats.org/drawingml/2006/main">
          <a:off x="6269936" y="2029240"/>
          <a:ext cx="993913" cy="64604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GB" sz="1100" kern="1200"/>
            <a:t>End of Working Section</a:t>
          </a:r>
        </a:p>
        <a:p xmlns:a="http://schemas.openxmlformats.org/drawingml/2006/main">
          <a:endParaRPr lang="en-GB" sz="1100" kern="1200"/>
        </a:p>
      </cdr:txBody>
    </cdr:sp>
  </cdr:relSizeAnchor>
  <cdr:relSizeAnchor xmlns:cdr="http://schemas.openxmlformats.org/drawingml/2006/chartDrawing">
    <cdr:from>
      <cdr:x>0.5632</cdr:x>
      <cdr:y>0.45321</cdr:y>
    </cdr:from>
    <cdr:to>
      <cdr:x>0.69543</cdr:x>
      <cdr:y>0.5986</cdr:y>
    </cdr:to>
    <cdr:sp macro="" textlink="">
      <cdr:nvSpPr>
        <cdr:cNvPr id="8" name="TextBox 1">
          <a:extLst xmlns:a="http://schemas.openxmlformats.org/drawingml/2006/main">
            <a:ext uri="{FF2B5EF4-FFF2-40B4-BE49-F238E27FC236}">
              <a16:creationId xmlns:a16="http://schemas.microsoft.com/office/drawing/2014/main" id="{1EE7F4DB-C5ED-9509-4323-A69A0AAB261A}"/>
            </a:ext>
          </a:extLst>
        </cdr:cNvPr>
        <cdr:cNvSpPr txBox="1"/>
      </cdr:nvSpPr>
      <cdr:spPr>
        <a:xfrm xmlns:a="http://schemas.openxmlformats.org/drawingml/2006/main">
          <a:off x="4233518" y="2013779"/>
          <a:ext cx="993913" cy="64604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100" kern="1200"/>
            <a:t>Start of Working Section</a:t>
          </a:r>
        </a:p>
        <a:p xmlns:a="http://schemas.openxmlformats.org/drawingml/2006/main">
          <a:endParaRPr lang="en-GB" sz="1100" kern="1200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972FE-07B0-4A31-BED3-51D1182A3FCB}">
  <dimension ref="A1:AC78"/>
  <sheetViews>
    <sheetView tabSelected="1" zoomScale="115" zoomScaleNormal="115" workbookViewId="0">
      <selection activeCell="B2" sqref="B2:F2"/>
    </sheetView>
  </sheetViews>
  <sheetFormatPr defaultRowHeight="15" x14ac:dyDescent="0.25"/>
  <cols>
    <col min="1" max="1" width="20.7109375" style="1" customWidth="1"/>
    <col min="2" max="2" width="13.42578125" customWidth="1"/>
    <col min="3" max="3" width="20" hidden="1" customWidth="1"/>
    <col min="4" max="4" width="20" customWidth="1"/>
    <col min="5" max="5" width="12.42578125" customWidth="1"/>
    <col min="6" max="6" width="11.140625" customWidth="1"/>
    <col min="29" max="29" width="11.5703125" customWidth="1"/>
  </cols>
  <sheetData>
    <row r="1" spans="1:29" ht="45" x14ac:dyDescent="0.25">
      <c r="D1" s="7" t="s">
        <v>10</v>
      </c>
      <c r="E1" s="7" t="s">
        <v>2</v>
      </c>
      <c r="F1" s="7" t="s">
        <v>3</v>
      </c>
      <c r="G1" s="1"/>
    </row>
    <row r="2" spans="1:29" ht="65.25" customHeight="1" x14ac:dyDescent="0.25">
      <c r="B2" s="7" t="s">
        <v>14</v>
      </c>
      <c r="C2" s="7"/>
      <c r="D2" s="7" t="s">
        <v>5</v>
      </c>
      <c r="E2" s="7" t="s">
        <v>6</v>
      </c>
      <c r="F2" s="7" t="s">
        <v>7</v>
      </c>
      <c r="Y2" s="4" t="s">
        <v>13</v>
      </c>
      <c r="Z2" s="5"/>
      <c r="AA2" s="5"/>
      <c r="AB2" s="5"/>
      <c r="AC2" s="6"/>
    </row>
    <row r="3" spans="1:29" ht="30" x14ac:dyDescent="0.25">
      <c r="A3" s="8" t="s">
        <v>4</v>
      </c>
      <c r="B3" s="9">
        <v>1</v>
      </c>
      <c r="C3" s="10">
        <v>-50</v>
      </c>
      <c r="D3" s="10">
        <f>C3+50</f>
        <v>0</v>
      </c>
      <c r="E3" s="10">
        <v>495</v>
      </c>
      <c r="F3" s="10">
        <v>495</v>
      </c>
      <c r="Y3" s="3" t="s">
        <v>11</v>
      </c>
      <c r="Z3" s="3"/>
      <c r="AA3" s="3"/>
      <c r="AB3" s="3" t="s">
        <v>12</v>
      </c>
      <c r="AC3" s="3"/>
    </row>
    <row r="4" spans="1:29" x14ac:dyDescent="0.25">
      <c r="B4">
        <v>2</v>
      </c>
      <c r="C4" s="2">
        <v>-43.98445193661</v>
      </c>
      <c r="D4" s="2">
        <f t="shared" ref="D4:D67" si="0">C4+50</f>
        <v>6.0155480633899998</v>
      </c>
      <c r="E4" s="2">
        <v>471.22253192965002</v>
      </c>
      <c r="F4" s="2">
        <v>471.22253192965002</v>
      </c>
      <c r="Y4" s="3" t="s">
        <v>0</v>
      </c>
      <c r="Z4" s="3" t="s">
        <v>1</v>
      </c>
      <c r="AA4" s="3"/>
      <c r="AB4" s="3" t="s">
        <v>0</v>
      </c>
      <c r="AC4" s="3" t="s">
        <v>1</v>
      </c>
    </row>
    <row r="5" spans="1:29" x14ac:dyDescent="0.25">
      <c r="B5">
        <v>3</v>
      </c>
      <c r="C5" s="2">
        <v>-27.385295553319999</v>
      </c>
      <c r="D5" s="2">
        <f t="shared" si="0"/>
        <v>22.614704446680001</v>
      </c>
      <c r="E5" s="2">
        <v>453.16645380250998</v>
      </c>
      <c r="F5" s="2">
        <v>453.16645380250998</v>
      </c>
      <c r="Y5" s="3">
        <v>1125</v>
      </c>
      <c r="Z5" s="3">
        <v>0</v>
      </c>
      <c r="AA5" s="3"/>
      <c r="AB5" s="3">
        <v>1785</v>
      </c>
      <c r="AC5" s="3">
        <v>0</v>
      </c>
    </row>
    <row r="6" spans="1:29" x14ac:dyDescent="0.25">
      <c r="B6">
        <v>4</v>
      </c>
      <c r="C6" s="2">
        <v>-4.1966460855600003</v>
      </c>
      <c r="D6" s="2">
        <f t="shared" si="0"/>
        <v>45.803353914440002</v>
      </c>
      <c r="E6" s="2">
        <v>445.17642965791998</v>
      </c>
      <c r="F6" s="2">
        <v>445.17642965791998</v>
      </c>
      <c r="Y6" s="3">
        <v>1125</v>
      </c>
      <c r="Z6" s="3">
        <v>200</v>
      </c>
      <c r="AA6" s="3"/>
      <c r="AB6" s="3">
        <v>1785</v>
      </c>
      <c r="AC6" s="3">
        <v>200</v>
      </c>
    </row>
    <row r="7" spans="1:29" x14ac:dyDescent="0.25">
      <c r="B7">
        <v>5</v>
      </c>
      <c r="C7" s="2">
        <v>45.357208196359998</v>
      </c>
      <c r="D7" s="2">
        <f t="shared" si="0"/>
        <v>95.357208196360006</v>
      </c>
      <c r="E7" s="2">
        <v>445</v>
      </c>
      <c r="F7" s="2">
        <v>445</v>
      </c>
    </row>
    <row r="8" spans="1:29" x14ac:dyDescent="0.25">
      <c r="B8">
        <v>6</v>
      </c>
      <c r="C8" s="2">
        <v>70.136611257390001</v>
      </c>
      <c r="D8" s="2">
        <f t="shared" si="0"/>
        <v>120.13661125739</v>
      </c>
      <c r="E8" s="2">
        <v>445</v>
      </c>
      <c r="F8" s="2">
        <v>445</v>
      </c>
    </row>
    <row r="9" spans="1:29" x14ac:dyDescent="0.25">
      <c r="B9">
        <v>7</v>
      </c>
      <c r="C9" s="2">
        <v>94.916014318319995</v>
      </c>
      <c r="D9" s="2">
        <f t="shared" si="0"/>
        <v>144.91601431831998</v>
      </c>
      <c r="E9" s="2">
        <v>445</v>
      </c>
      <c r="F9" s="2">
        <v>445</v>
      </c>
    </row>
    <row r="10" spans="1:29" x14ac:dyDescent="0.25">
      <c r="B10">
        <v>8</v>
      </c>
      <c r="C10" s="2">
        <v>119.69541737935</v>
      </c>
      <c r="D10" s="2">
        <f t="shared" si="0"/>
        <v>169.69541737935</v>
      </c>
      <c r="E10" s="2">
        <v>445</v>
      </c>
      <c r="F10" s="2">
        <v>445</v>
      </c>
    </row>
    <row r="11" spans="1:29" x14ac:dyDescent="0.25">
      <c r="B11">
        <v>9</v>
      </c>
      <c r="C11" s="2">
        <v>144.47482044038</v>
      </c>
      <c r="D11" s="2">
        <f t="shared" si="0"/>
        <v>194.47482044038</v>
      </c>
      <c r="E11" s="2">
        <v>445</v>
      </c>
      <c r="F11" s="2">
        <v>445</v>
      </c>
    </row>
    <row r="12" spans="1:29" x14ac:dyDescent="0.25">
      <c r="B12">
        <v>10</v>
      </c>
      <c r="C12" s="2">
        <v>169.25422350141</v>
      </c>
      <c r="D12" s="2">
        <f t="shared" si="0"/>
        <v>219.25422350141</v>
      </c>
      <c r="E12" s="2">
        <v>445</v>
      </c>
      <c r="F12" s="2">
        <v>445</v>
      </c>
    </row>
    <row r="13" spans="1:29" x14ac:dyDescent="0.25">
      <c r="B13">
        <v>11</v>
      </c>
      <c r="C13" s="2">
        <v>194.03362656243999</v>
      </c>
      <c r="D13" s="2">
        <f t="shared" si="0"/>
        <v>244.03362656243999</v>
      </c>
      <c r="E13" s="2">
        <v>445</v>
      </c>
      <c r="F13" s="2">
        <v>445</v>
      </c>
    </row>
    <row r="14" spans="1:29" x14ac:dyDescent="0.25">
      <c r="B14">
        <v>12</v>
      </c>
      <c r="C14" s="2">
        <v>218.80389817999</v>
      </c>
      <c r="D14" s="2">
        <f t="shared" si="0"/>
        <v>268.80389817999003</v>
      </c>
      <c r="E14" s="2">
        <v>444.49171078415998</v>
      </c>
      <c r="F14" s="2">
        <v>444.49171078415998</v>
      </c>
    </row>
    <row r="15" spans="1:29" x14ac:dyDescent="0.25">
      <c r="B15">
        <v>13</v>
      </c>
      <c r="C15" s="2">
        <v>243.48488980946999</v>
      </c>
      <c r="D15" s="2">
        <f t="shared" si="0"/>
        <v>293.48488980947002</v>
      </c>
      <c r="E15" s="2">
        <v>442.33658172216002</v>
      </c>
      <c r="F15" s="2">
        <v>442.33658172216002</v>
      </c>
    </row>
    <row r="16" spans="1:29" x14ac:dyDescent="0.25">
      <c r="B16">
        <v>14</v>
      </c>
      <c r="C16" s="2">
        <v>267.98283432178999</v>
      </c>
      <c r="D16" s="2">
        <f t="shared" si="0"/>
        <v>317.98283432178999</v>
      </c>
      <c r="E16" s="2">
        <v>438.63674762924001</v>
      </c>
      <c r="F16" s="2">
        <v>438.63674762924001</v>
      </c>
    </row>
    <row r="17" spans="2:6" x14ac:dyDescent="0.25">
      <c r="B17">
        <v>15</v>
      </c>
      <c r="C17" s="2">
        <v>292.23754485856</v>
      </c>
      <c r="D17" s="2">
        <f t="shared" si="0"/>
        <v>342.23754485856</v>
      </c>
      <c r="E17" s="2">
        <v>433.57810353631999</v>
      </c>
      <c r="F17" s="2">
        <v>433.57810353631999</v>
      </c>
    </row>
    <row r="18" spans="2:6" x14ac:dyDescent="0.25">
      <c r="B18">
        <v>16</v>
      </c>
      <c r="C18" s="2">
        <v>316.22288953240002</v>
      </c>
      <c r="D18" s="2">
        <f t="shared" si="0"/>
        <v>366.22288953240002</v>
      </c>
      <c r="E18" s="2">
        <v>427.36331995668002</v>
      </c>
      <c r="F18" s="2">
        <v>427.36331995668002</v>
      </c>
    </row>
    <row r="19" spans="2:6" x14ac:dyDescent="0.25">
      <c r="B19">
        <v>17</v>
      </c>
      <c r="C19" s="2">
        <v>339.94305097240999</v>
      </c>
      <c r="D19" s="2">
        <f t="shared" si="0"/>
        <v>389.94305097240999</v>
      </c>
      <c r="E19" s="2">
        <v>420.20036776540002</v>
      </c>
      <c r="F19" s="2">
        <v>420.20036776540002</v>
      </c>
    </row>
    <row r="20" spans="2:6" x14ac:dyDescent="0.25">
      <c r="B20">
        <v>18</v>
      </c>
      <c r="C20" s="2">
        <v>363.42655552885998</v>
      </c>
      <c r="D20" s="2">
        <f t="shared" si="0"/>
        <v>413.42655552885998</v>
      </c>
      <c r="E20" s="2">
        <v>412.294350882</v>
      </c>
      <c r="F20" s="2">
        <v>412.294350882</v>
      </c>
    </row>
    <row r="21" spans="2:6" x14ac:dyDescent="0.25">
      <c r="B21">
        <v>19</v>
      </c>
      <c r="C21" s="2">
        <v>386.69952649313001</v>
      </c>
      <c r="D21" s="2">
        <f t="shared" si="0"/>
        <v>436.69952649313001</v>
      </c>
      <c r="E21" s="2">
        <v>403.78805200839997</v>
      </c>
      <c r="F21" s="2">
        <v>403.78805200839997</v>
      </c>
    </row>
    <row r="22" spans="2:6" x14ac:dyDescent="0.25">
      <c r="B22">
        <v>20</v>
      </c>
      <c r="C22" s="2">
        <v>409.76699688970001</v>
      </c>
      <c r="D22" s="2">
        <f t="shared" si="0"/>
        <v>459.76699688970001</v>
      </c>
      <c r="E22" s="2">
        <v>394.73902332272002</v>
      </c>
      <c r="F22" s="2">
        <v>394.73902332272002</v>
      </c>
    </row>
    <row r="23" spans="2:6" x14ac:dyDescent="0.25">
      <c r="B23">
        <v>21</v>
      </c>
      <c r="C23" s="2">
        <v>432.63579788961999</v>
      </c>
      <c r="D23" s="2">
        <f t="shared" si="0"/>
        <v>482.63579788961999</v>
      </c>
      <c r="E23" s="2">
        <v>385.19881533850997</v>
      </c>
      <c r="F23" s="2">
        <v>385.19881533850997</v>
      </c>
    </row>
    <row r="24" spans="2:6" x14ac:dyDescent="0.25">
      <c r="B24">
        <v>22</v>
      </c>
      <c r="C24" s="2">
        <v>455.31630387562001</v>
      </c>
      <c r="D24" s="2">
        <f t="shared" si="0"/>
        <v>505.31630387562001</v>
      </c>
      <c r="E24" s="2">
        <v>375.21901468380003</v>
      </c>
      <c r="F24" s="2">
        <v>375.21901468380003</v>
      </c>
    </row>
    <row r="25" spans="2:6" x14ac:dyDescent="0.25">
      <c r="B25">
        <v>23</v>
      </c>
      <c r="C25" s="2">
        <v>477.82197000150001</v>
      </c>
      <c r="D25" s="2">
        <f t="shared" si="0"/>
        <v>527.82197000149995</v>
      </c>
      <c r="E25" s="2">
        <v>364.85077050458</v>
      </c>
      <c r="F25" s="2">
        <v>364.85077050458</v>
      </c>
    </row>
    <row r="26" spans="2:6" x14ac:dyDescent="0.25">
      <c r="B26">
        <v>24</v>
      </c>
      <c r="C26" s="2">
        <v>500.16886332105997</v>
      </c>
      <c r="D26" s="2">
        <f t="shared" si="0"/>
        <v>550.16886332105992</v>
      </c>
      <c r="E26" s="2">
        <v>354.14445823858</v>
      </c>
      <c r="F26" s="2">
        <v>354.14445823858</v>
      </c>
    </row>
    <row r="27" spans="2:6" x14ac:dyDescent="0.25">
      <c r="B27">
        <v>25</v>
      </c>
      <c r="C27" s="2">
        <v>522.37520764925</v>
      </c>
      <c r="D27" s="2">
        <f t="shared" si="0"/>
        <v>572.37520764925</v>
      </c>
      <c r="E27" s="2">
        <v>343.14946689562998</v>
      </c>
      <c r="F27" s="2">
        <v>343.14946689562998</v>
      </c>
    </row>
    <row r="28" spans="2:6" x14ac:dyDescent="0.25">
      <c r="B28">
        <v>26</v>
      </c>
      <c r="C28" s="2">
        <v>544.46095524291002</v>
      </c>
      <c r="D28" s="2">
        <f t="shared" si="0"/>
        <v>594.46095524291002</v>
      </c>
      <c r="E28" s="2">
        <v>331.91409218234998</v>
      </c>
      <c r="F28" s="2">
        <v>331.91409218234998</v>
      </c>
    </row>
    <row r="29" spans="2:6" x14ac:dyDescent="0.25">
      <c r="B29">
        <v>27</v>
      </c>
      <c r="C29" s="2">
        <v>566.44739223826002</v>
      </c>
      <c r="D29" s="2">
        <f t="shared" si="0"/>
        <v>616.44739223826002</v>
      </c>
      <c r="E29" s="2">
        <v>320.48551644128003</v>
      </c>
      <c r="F29" s="2">
        <v>320.48551644128003</v>
      </c>
    </row>
    <row r="30" spans="2:6" x14ac:dyDescent="0.25">
      <c r="B30">
        <v>28</v>
      </c>
      <c r="C30" s="2">
        <v>588.35677985207997</v>
      </c>
      <c r="D30" s="2">
        <f t="shared" si="0"/>
        <v>638.35677985207997</v>
      </c>
      <c r="E30" s="2">
        <v>308.90985667955999</v>
      </c>
      <c r="F30" s="2">
        <v>308.90985667955999</v>
      </c>
    </row>
    <row r="31" spans="2:6" x14ac:dyDescent="0.25">
      <c r="B31">
        <v>29</v>
      </c>
      <c r="C31" s="2">
        <v>610.21202968052</v>
      </c>
      <c r="D31" s="2">
        <f t="shared" si="0"/>
        <v>660.21202968052</v>
      </c>
      <c r="E31" s="2">
        <v>297.23226325465998</v>
      </c>
      <c r="F31" s="2">
        <v>297.23226325465998</v>
      </c>
    </row>
    <row r="32" spans="2:6" x14ac:dyDescent="0.25">
      <c r="B32">
        <v>30</v>
      </c>
      <c r="C32" s="2">
        <v>632.03640890229997</v>
      </c>
      <c r="D32" s="2">
        <f t="shared" si="0"/>
        <v>682.03640890229997</v>
      </c>
      <c r="E32" s="2">
        <v>285.49705352348002</v>
      </c>
      <c r="F32" s="2">
        <v>285.49705352348002</v>
      </c>
    </row>
    <row r="33" spans="2:6" x14ac:dyDescent="0.25">
      <c r="B33">
        <v>31</v>
      </c>
      <c r="C33" s="2">
        <v>653.85326963035004</v>
      </c>
      <c r="D33" s="2">
        <f t="shared" si="0"/>
        <v>703.85326963035004</v>
      </c>
      <c r="E33" s="2">
        <v>273.74786655627003</v>
      </c>
      <c r="F33" s="2">
        <v>273.74786655627003</v>
      </c>
    </row>
    <row r="34" spans="2:6" x14ac:dyDescent="0.25">
      <c r="B34">
        <v>32</v>
      </c>
      <c r="C34" s="2">
        <v>675.68579587188003</v>
      </c>
      <c r="D34" s="2">
        <f t="shared" si="0"/>
        <v>725.68579587188003</v>
      </c>
      <c r="E34" s="2">
        <v>262.02782662163003</v>
      </c>
      <c r="F34" s="2">
        <v>262.02782662163003</v>
      </c>
    </row>
    <row r="35" spans="2:6" x14ac:dyDescent="0.25">
      <c r="B35">
        <v>33</v>
      </c>
      <c r="C35" s="2">
        <v>697.55676138803005</v>
      </c>
      <c r="D35" s="2">
        <f t="shared" si="0"/>
        <v>747.55676138803005</v>
      </c>
      <c r="E35" s="2">
        <v>250.379704428</v>
      </c>
      <c r="F35" s="2">
        <v>250.379704428</v>
      </c>
    </row>
    <row r="36" spans="2:6" x14ac:dyDescent="0.25">
      <c r="B36">
        <v>34</v>
      </c>
      <c r="C36" s="2">
        <v>719.48829207273002</v>
      </c>
      <c r="D36" s="2">
        <f t="shared" si="0"/>
        <v>769.48829207273002</v>
      </c>
      <c r="E36" s="2">
        <v>238.84606601594001</v>
      </c>
      <c r="F36" s="2">
        <v>238.84606601594001</v>
      </c>
    </row>
    <row r="37" spans="2:6" x14ac:dyDescent="0.25">
      <c r="B37">
        <v>35</v>
      </c>
      <c r="C37" s="2">
        <v>741.50162722183995</v>
      </c>
      <c r="D37" s="2">
        <f t="shared" si="0"/>
        <v>791.50162722183995</v>
      </c>
      <c r="E37" s="2">
        <v>227.46939975635999</v>
      </c>
      <c r="F37" s="2">
        <v>227.46939975635999</v>
      </c>
    </row>
    <row r="38" spans="2:6" x14ac:dyDescent="0.25">
      <c r="B38">
        <v>36</v>
      </c>
      <c r="C38" s="2">
        <v>763.62575261491997</v>
      </c>
      <c r="D38" s="2">
        <f t="shared" si="0"/>
        <v>813.62575261491997</v>
      </c>
      <c r="E38" s="2">
        <v>216.30992997387</v>
      </c>
      <c r="F38" s="2">
        <v>216.30992997387</v>
      </c>
    </row>
    <row r="39" spans="2:6" x14ac:dyDescent="0.25">
      <c r="B39">
        <v>37</v>
      </c>
      <c r="C39" s="2">
        <v>785.92768760962997</v>
      </c>
      <c r="D39" s="2">
        <f t="shared" si="0"/>
        <v>835.92768760962997</v>
      </c>
      <c r="E39" s="2">
        <v>205.51075956502001</v>
      </c>
      <c r="F39" s="2">
        <v>205.51075956502001</v>
      </c>
    </row>
    <row r="40" spans="2:6" x14ac:dyDescent="0.25">
      <c r="B40">
        <v>38</v>
      </c>
      <c r="C40" s="2">
        <v>808.47970130232</v>
      </c>
      <c r="D40" s="2">
        <f t="shared" si="0"/>
        <v>858.47970130232</v>
      </c>
      <c r="E40" s="2">
        <v>195.24497192837001</v>
      </c>
      <c r="F40" s="2">
        <v>195.24497192837001</v>
      </c>
    </row>
    <row r="41" spans="2:6" x14ac:dyDescent="0.25">
      <c r="B41">
        <v>39</v>
      </c>
      <c r="C41" s="2">
        <v>831.34410259219999</v>
      </c>
      <c r="D41" s="2">
        <f t="shared" si="0"/>
        <v>881.34410259219999</v>
      </c>
      <c r="E41" s="2">
        <v>185.69650701712999</v>
      </c>
      <c r="F41" s="2">
        <v>185.69650701712999</v>
      </c>
    </row>
    <row r="42" spans="2:6" x14ac:dyDescent="0.25">
      <c r="B42">
        <v>40</v>
      </c>
      <c r="C42" s="2">
        <v>854.56852534733002</v>
      </c>
      <c r="D42" s="2">
        <f t="shared" si="0"/>
        <v>904.56852534733002</v>
      </c>
      <c r="E42" s="2">
        <v>177.06245741654001</v>
      </c>
      <c r="F42" s="2">
        <v>177.06245741654001</v>
      </c>
    </row>
    <row r="43" spans="2:6" x14ac:dyDescent="0.25">
      <c r="B43">
        <v>41</v>
      </c>
      <c r="C43" s="2">
        <v>878.17960921234999</v>
      </c>
      <c r="D43" s="2">
        <f t="shared" si="0"/>
        <v>928.17960921234999</v>
      </c>
      <c r="E43" s="2">
        <v>169.55272544402999</v>
      </c>
      <c r="F43" s="2">
        <v>169.55272544402999</v>
      </c>
    </row>
    <row r="44" spans="2:6" x14ac:dyDescent="0.25">
      <c r="B44">
        <v>42</v>
      </c>
      <c r="C44" s="2">
        <v>902.17540633867998</v>
      </c>
      <c r="D44" s="2">
        <f t="shared" si="0"/>
        <v>952.17540633867998</v>
      </c>
      <c r="E44" s="2">
        <v>163.38563139271</v>
      </c>
      <c r="F44" s="2">
        <v>163.38563139271</v>
      </c>
    </row>
    <row r="45" spans="2:6" x14ac:dyDescent="0.25">
      <c r="B45">
        <v>43</v>
      </c>
      <c r="C45" s="2">
        <v>926.51775224514995</v>
      </c>
      <c r="D45" s="2">
        <f t="shared" si="0"/>
        <v>976.51775224514995</v>
      </c>
      <c r="E45" s="2">
        <v>158.77803916038999</v>
      </c>
      <c r="F45" s="2">
        <v>158.77803916038999</v>
      </c>
    </row>
    <row r="46" spans="2:6" x14ac:dyDescent="0.25">
      <c r="B46">
        <v>44</v>
      </c>
      <c r="C46" s="2">
        <v>951.12700766613</v>
      </c>
      <c r="D46" s="2">
        <f t="shared" si="0"/>
        <v>1001.12700766613</v>
      </c>
      <c r="E46" s="2">
        <v>155.92940795929999</v>
      </c>
      <c r="F46" s="2">
        <v>155.92940795929999</v>
      </c>
    </row>
    <row r="47" spans="2:6" x14ac:dyDescent="0.25">
      <c r="B47">
        <v>45</v>
      </c>
      <c r="C47" s="2">
        <v>975.88238775588002</v>
      </c>
      <c r="D47" s="2">
        <f t="shared" si="0"/>
        <v>1025.88238775588</v>
      </c>
      <c r="E47" s="2">
        <v>155</v>
      </c>
      <c r="F47" s="2">
        <v>155</v>
      </c>
    </row>
    <row r="48" spans="2:6" x14ac:dyDescent="0.25">
      <c r="B48">
        <v>46</v>
      </c>
      <c r="C48" s="2">
        <v>1000.66179081691</v>
      </c>
      <c r="D48" s="2">
        <f t="shared" si="0"/>
        <v>1050.6617908169101</v>
      </c>
      <c r="E48" s="2">
        <v>155</v>
      </c>
      <c r="F48" s="2">
        <v>155</v>
      </c>
    </row>
    <row r="49" spans="1:6" x14ac:dyDescent="0.25">
      <c r="B49">
        <v>47</v>
      </c>
      <c r="C49" s="2">
        <v>1025</v>
      </c>
      <c r="D49" s="2">
        <f t="shared" si="0"/>
        <v>1075</v>
      </c>
      <c r="E49" s="2">
        <v>155</v>
      </c>
      <c r="F49" s="2">
        <v>155</v>
      </c>
    </row>
    <row r="50" spans="1:6" x14ac:dyDescent="0.25">
      <c r="B50">
        <v>48</v>
      </c>
      <c r="C50" s="2">
        <v>1050.2205969389699</v>
      </c>
      <c r="D50" s="2">
        <f t="shared" si="0"/>
        <v>1100.2205969389699</v>
      </c>
      <c r="E50" s="2">
        <v>155</v>
      </c>
      <c r="F50" s="2">
        <v>155</v>
      </c>
    </row>
    <row r="51" spans="1:6" ht="60" x14ac:dyDescent="0.25">
      <c r="A51" s="8" t="s">
        <v>8</v>
      </c>
      <c r="B51" s="9">
        <v>49</v>
      </c>
      <c r="C51" s="10">
        <v>1075</v>
      </c>
      <c r="D51" s="10">
        <f t="shared" si="0"/>
        <v>1125</v>
      </c>
      <c r="E51" s="10">
        <v>155</v>
      </c>
      <c r="F51" s="10">
        <v>155</v>
      </c>
    </row>
    <row r="52" spans="1:6" x14ac:dyDescent="0.25">
      <c r="B52">
        <v>50</v>
      </c>
      <c r="C52" s="2">
        <v>1100</v>
      </c>
      <c r="D52" s="2">
        <f t="shared" si="0"/>
        <v>1150</v>
      </c>
      <c r="E52" s="2">
        <v>155</v>
      </c>
      <c r="F52" s="2">
        <v>155</v>
      </c>
    </row>
    <row r="53" spans="1:6" x14ac:dyDescent="0.25">
      <c r="B53">
        <v>51</v>
      </c>
      <c r="C53" s="2">
        <v>1125</v>
      </c>
      <c r="D53" s="2">
        <f t="shared" si="0"/>
        <v>1175</v>
      </c>
      <c r="E53" s="2">
        <v>155</v>
      </c>
      <c r="F53" s="2">
        <v>155</v>
      </c>
    </row>
    <row r="54" spans="1:6" x14ac:dyDescent="0.25">
      <c r="B54">
        <v>52</v>
      </c>
      <c r="C54" s="2">
        <v>1150</v>
      </c>
      <c r="D54" s="2">
        <f t="shared" si="0"/>
        <v>1200</v>
      </c>
      <c r="E54" s="2">
        <v>155</v>
      </c>
      <c r="F54" s="2">
        <v>155</v>
      </c>
    </row>
    <row r="55" spans="1:6" x14ac:dyDescent="0.25">
      <c r="B55">
        <v>53</v>
      </c>
      <c r="C55" s="2">
        <v>1175</v>
      </c>
      <c r="D55" s="2">
        <f t="shared" si="0"/>
        <v>1225</v>
      </c>
      <c r="E55" s="2">
        <v>155</v>
      </c>
      <c r="F55" s="2">
        <v>155</v>
      </c>
    </row>
    <row r="56" spans="1:6" x14ac:dyDescent="0.25">
      <c r="B56">
        <v>54</v>
      </c>
      <c r="C56" s="2">
        <v>1200</v>
      </c>
      <c r="D56" s="2">
        <f t="shared" si="0"/>
        <v>1250</v>
      </c>
      <c r="E56" s="2">
        <v>155</v>
      </c>
      <c r="F56" s="2">
        <v>155</v>
      </c>
    </row>
    <row r="57" spans="1:6" x14ac:dyDescent="0.25">
      <c r="B57">
        <v>55</v>
      </c>
      <c r="C57" s="2">
        <v>1225</v>
      </c>
      <c r="D57" s="2">
        <f t="shared" si="0"/>
        <v>1275</v>
      </c>
      <c r="E57" s="2">
        <v>155</v>
      </c>
      <c r="F57" s="2">
        <v>155</v>
      </c>
    </row>
    <row r="58" spans="1:6" x14ac:dyDescent="0.25">
      <c r="B58">
        <v>56</v>
      </c>
      <c r="C58" s="2">
        <v>1250</v>
      </c>
      <c r="D58" s="2">
        <f t="shared" si="0"/>
        <v>1300</v>
      </c>
      <c r="E58" s="2">
        <v>155</v>
      </c>
      <c r="F58" s="2">
        <v>155</v>
      </c>
    </row>
    <row r="59" spans="1:6" x14ac:dyDescent="0.25">
      <c r="B59">
        <v>57</v>
      </c>
      <c r="C59" s="2">
        <v>1275</v>
      </c>
      <c r="D59" s="2">
        <f t="shared" si="0"/>
        <v>1325</v>
      </c>
      <c r="E59" s="2">
        <v>155</v>
      </c>
      <c r="F59" s="2">
        <v>155</v>
      </c>
    </row>
    <row r="60" spans="1:6" x14ac:dyDescent="0.25">
      <c r="B60">
        <v>58</v>
      </c>
      <c r="C60" s="2">
        <v>1300</v>
      </c>
      <c r="D60" s="2">
        <f t="shared" si="0"/>
        <v>1350</v>
      </c>
      <c r="E60" s="2">
        <v>155</v>
      </c>
      <c r="F60" s="2">
        <v>155</v>
      </c>
    </row>
    <row r="61" spans="1:6" x14ac:dyDescent="0.25">
      <c r="B61">
        <v>59</v>
      </c>
      <c r="C61" s="2">
        <v>1325</v>
      </c>
      <c r="D61" s="2">
        <f t="shared" si="0"/>
        <v>1375</v>
      </c>
      <c r="E61" s="2">
        <v>155</v>
      </c>
      <c r="F61" s="2">
        <v>155</v>
      </c>
    </row>
    <row r="62" spans="1:6" x14ac:dyDescent="0.25">
      <c r="B62">
        <v>60</v>
      </c>
      <c r="C62" s="2">
        <v>1350</v>
      </c>
      <c r="D62" s="2">
        <f t="shared" si="0"/>
        <v>1400</v>
      </c>
      <c r="E62" s="2">
        <v>155</v>
      </c>
      <c r="F62" s="2">
        <v>155</v>
      </c>
    </row>
    <row r="63" spans="1:6" x14ac:dyDescent="0.25">
      <c r="B63">
        <v>61</v>
      </c>
      <c r="C63" s="2">
        <v>1375</v>
      </c>
      <c r="D63" s="2">
        <f t="shared" si="0"/>
        <v>1425</v>
      </c>
      <c r="E63" s="2">
        <v>155</v>
      </c>
      <c r="F63" s="2">
        <v>155</v>
      </c>
    </row>
    <row r="64" spans="1:6" x14ac:dyDescent="0.25">
      <c r="B64">
        <v>62</v>
      </c>
      <c r="C64" s="2">
        <v>1400</v>
      </c>
      <c r="D64" s="2">
        <f t="shared" si="0"/>
        <v>1450</v>
      </c>
      <c r="E64" s="2">
        <v>155</v>
      </c>
      <c r="F64" s="2">
        <v>155</v>
      </c>
    </row>
    <row r="65" spans="1:6" x14ac:dyDescent="0.25">
      <c r="B65">
        <v>63</v>
      </c>
      <c r="C65" s="2">
        <v>1425</v>
      </c>
      <c r="D65" s="2">
        <f t="shared" si="0"/>
        <v>1475</v>
      </c>
      <c r="E65" s="2">
        <v>155</v>
      </c>
      <c r="F65" s="2">
        <v>155</v>
      </c>
    </row>
    <row r="66" spans="1:6" x14ac:dyDescent="0.25">
      <c r="B66">
        <v>64</v>
      </c>
      <c r="C66" s="2">
        <v>1450</v>
      </c>
      <c r="D66" s="2">
        <f t="shared" si="0"/>
        <v>1500</v>
      </c>
      <c r="E66" s="2">
        <v>155</v>
      </c>
      <c r="F66" s="2">
        <v>155</v>
      </c>
    </row>
    <row r="67" spans="1:6" x14ac:dyDescent="0.25">
      <c r="B67">
        <v>65</v>
      </c>
      <c r="C67" s="2">
        <v>1475</v>
      </c>
      <c r="D67" s="2">
        <f t="shared" si="0"/>
        <v>1525</v>
      </c>
      <c r="E67" s="2">
        <v>155</v>
      </c>
      <c r="F67" s="2">
        <v>155</v>
      </c>
    </row>
    <row r="68" spans="1:6" x14ac:dyDescent="0.25">
      <c r="B68">
        <v>66</v>
      </c>
      <c r="C68" s="2">
        <v>1500</v>
      </c>
      <c r="D68" s="2">
        <f t="shared" ref="D68:D78" si="1">C68+50</f>
        <v>1550</v>
      </c>
      <c r="E68" s="2">
        <v>155</v>
      </c>
      <c r="F68" s="2">
        <v>155</v>
      </c>
    </row>
    <row r="69" spans="1:6" x14ac:dyDescent="0.25">
      <c r="B69">
        <v>67</v>
      </c>
      <c r="C69" s="2">
        <v>1525</v>
      </c>
      <c r="D69" s="2">
        <f t="shared" si="1"/>
        <v>1575</v>
      </c>
      <c r="E69" s="2">
        <v>155</v>
      </c>
      <c r="F69" s="2">
        <v>155</v>
      </c>
    </row>
    <row r="70" spans="1:6" x14ac:dyDescent="0.25">
      <c r="B70">
        <v>68</v>
      </c>
      <c r="C70" s="2">
        <v>1550</v>
      </c>
      <c r="D70" s="2">
        <f t="shared" si="1"/>
        <v>1600</v>
      </c>
      <c r="E70" s="2">
        <v>155</v>
      </c>
      <c r="F70" s="2">
        <v>155</v>
      </c>
    </row>
    <row r="71" spans="1:6" x14ac:dyDescent="0.25">
      <c r="B71">
        <v>69</v>
      </c>
      <c r="C71" s="2">
        <v>1575</v>
      </c>
      <c r="D71" s="2">
        <f t="shared" si="1"/>
        <v>1625</v>
      </c>
      <c r="E71" s="2">
        <v>155</v>
      </c>
      <c r="F71" s="2">
        <v>155</v>
      </c>
    </row>
    <row r="72" spans="1:6" x14ac:dyDescent="0.25">
      <c r="B72">
        <v>70</v>
      </c>
      <c r="C72" s="2">
        <v>1600</v>
      </c>
      <c r="D72" s="2">
        <f t="shared" si="1"/>
        <v>1650</v>
      </c>
      <c r="E72" s="2">
        <v>155</v>
      </c>
      <c r="F72" s="2">
        <v>155</v>
      </c>
    </row>
    <row r="73" spans="1:6" x14ac:dyDescent="0.25">
      <c r="B73">
        <v>71</v>
      </c>
      <c r="C73" s="2">
        <v>1625</v>
      </c>
      <c r="D73" s="2">
        <f t="shared" si="1"/>
        <v>1675</v>
      </c>
      <c r="E73" s="2">
        <v>155</v>
      </c>
      <c r="F73" s="2">
        <v>155</v>
      </c>
    </row>
    <row r="74" spans="1:6" x14ac:dyDescent="0.25">
      <c r="B74">
        <v>72</v>
      </c>
      <c r="C74" s="2">
        <v>1650</v>
      </c>
      <c r="D74" s="2">
        <f t="shared" si="1"/>
        <v>1700</v>
      </c>
      <c r="E74" s="2">
        <v>155</v>
      </c>
      <c r="F74" s="2">
        <v>155</v>
      </c>
    </row>
    <row r="75" spans="1:6" x14ac:dyDescent="0.25">
      <c r="B75">
        <v>73</v>
      </c>
      <c r="C75" s="2">
        <v>1675</v>
      </c>
      <c r="D75" s="2">
        <f t="shared" si="1"/>
        <v>1725</v>
      </c>
      <c r="E75" s="2">
        <v>155</v>
      </c>
      <c r="F75" s="2">
        <v>155</v>
      </c>
    </row>
    <row r="76" spans="1:6" x14ac:dyDescent="0.25">
      <c r="B76">
        <v>74</v>
      </c>
      <c r="C76" s="2">
        <v>1700</v>
      </c>
      <c r="D76" s="2">
        <f t="shared" si="1"/>
        <v>1750</v>
      </c>
      <c r="E76" s="2">
        <v>155</v>
      </c>
      <c r="F76" s="2">
        <v>155</v>
      </c>
    </row>
    <row r="77" spans="1:6" x14ac:dyDescent="0.25">
      <c r="B77">
        <v>75</v>
      </c>
      <c r="C77" s="2">
        <v>1725</v>
      </c>
      <c r="D77" s="2">
        <f t="shared" si="1"/>
        <v>1775</v>
      </c>
      <c r="E77" s="2">
        <v>155</v>
      </c>
      <c r="F77" s="2">
        <v>155</v>
      </c>
    </row>
    <row r="78" spans="1:6" ht="30" x14ac:dyDescent="0.25">
      <c r="A78" s="11" t="s">
        <v>9</v>
      </c>
      <c r="B78" s="12">
        <v>76</v>
      </c>
      <c r="C78" s="13">
        <v>1735</v>
      </c>
      <c r="D78" s="13">
        <f t="shared" si="1"/>
        <v>1785</v>
      </c>
      <c r="E78" s="13">
        <v>155</v>
      </c>
      <c r="F78" s="13">
        <v>155</v>
      </c>
    </row>
  </sheetData>
  <mergeCells count="1">
    <mergeCell ref="Y2:AC2"/>
  </mergeCells>
  <pageMargins left="0.7" right="0.7" top="0.75" bottom="0.75" header="0.3" footer="0.3"/>
  <pageSetup paperSize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Oxford Brookes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Bell</dc:creator>
  <cp:lastModifiedBy>Daniel Bell</cp:lastModifiedBy>
  <dcterms:created xsi:type="dcterms:W3CDTF">2025-10-28T10:10:53Z</dcterms:created>
  <dcterms:modified xsi:type="dcterms:W3CDTF">2025-10-28T12:10:51Z</dcterms:modified>
</cp:coreProperties>
</file>